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80" yWindow="760" windowWidth="33780" windowHeight="2158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6">
    <font>
      <name val="Aptos Narrow"/>
      <family val="2"/>
      <color theme="1"/>
      <sz val="12"/>
      <scheme val="minor"/>
    </font>
    <font>
      <name val="Aptos Narrow"/>
      <family val="2"/>
      <sz val="8"/>
      <scheme val="minor"/>
    </font>
    <font>
      <name val="Aptos Narrow"/>
      <b val="1"/>
      <color theme="1"/>
      <sz val="12"/>
      <scheme val="minor"/>
    </font>
    <font>
      <name val="Aptos Narrow"/>
      <b val="1"/>
      <color theme="1"/>
      <sz val="20"/>
      <scheme val="minor"/>
    </font>
    <font>
      <name val="Aptos Narrow"/>
      <b val="1"/>
      <color theme="1"/>
      <sz val="18"/>
      <scheme val="minor"/>
    </font>
    <font>
      <name val="Aptos Narrow"/>
      <color theme="1"/>
      <sz val="12"/>
      <scheme val="minor"/>
    </font>
  </fonts>
  <fills count="6">
    <fill>
      <patternFill/>
    </fill>
    <fill>
      <patternFill patternType="gray125"/>
    </fill>
    <fill>
      <patternFill patternType="solid">
        <fgColor theme="7" tint="0.7999816888943144"/>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8">
    <xf numFmtId="0" fontId="0" fillId="0" borderId="0" pivotButton="0" quotePrefix="0" xfId="0"/>
    <xf numFmtId="0" fontId="2" fillId="0" borderId="1" applyAlignment="1" pivotButton="0" quotePrefix="0" xfId="0">
      <alignment horizontal="center" vertical="center"/>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0" applyAlignment="1" pivotButton="0" quotePrefix="0" xfId="0">
      <alignment horizontal="center" vertical="center"/>
    </xf>
    <xf numFmtId="0" fontId="5" fillId="0" borderId="0" pivotButton="0" quotePrefix="0" xfId="0"/>
    <xf numFmtId="0" fontId="2" fillId="3"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2" fillId="4" borderId="1" applyAlignment="1" pivotButton="0" quotePrefix="0" xfId="0">
      <alignment horizontal="center" vertical="center"/>
    </xf>
    <xf numFmtId="0" fontId="0" fillId="4" borderId="1" applyAlignment="1" pivotButton="0" quotePrefix="0" xfId="0">
      <alignment horizontal="center" vertical="center"/>
    </xf>
    <xf numFmtId="0" fontId="0"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0" fillId="5" borderId="0" pivotButton="0" quotePrefix="0" xfId="0"/>
    <xf numFmtId="0" fontId="5" fillId="5" borderId="0" pivotButton="0" quotePrefix="0" xfId="0"/>
    <xf numFmtId="0" fontId="4" fillId="5" borderId="0" pivotButton="0" quotePrefix="0" xfId="0"/>
    <xf numFmtId="0" fontId="3" fillId="5" borderId="0" pivotButton="0" quotePrefix="0" xfId="0"/>
    <xf numFmtId="0" fontId="0" fillId="5" borderId="0" applyAlignment="1" pivotButton="0" quotePrefix="0" xfId="0">
      <alignment horizontal="center" vertical="center"/>
    </xf>
    <xf numFmtId="0" fontId="0" fillId="5" borderId="1" pivotButton="0" quotePrefix="0" xfId="0"/>
    <xf numFmtId="0" fontId="2" fillId="5" borderId="1" applyAlignment="1" pivotButton="0" quotePrefix="0" xfId="0">
      <alignment horizontal="center"/>
    </xf>
    <xf numFmtId="0" fontId="2" fillId="5" borderId="1" pivotButton="0" quotePrefix="0" xfId="0"/>
    <xf numFmtId="0" fontId="0" fillId="5" borderId="1" applyAlignment="1" pivotButton="0" quotePrefix="0" xfId="0">
      <alignment horizontal="center"/>
    </xf>
    <xf numFmtId="0" fontId="5" fillId="5" borderId="1" applyAlignment="1" pivotButton="0" quotePrefix="0" xfId="0">
      <alignment horizontal="center"/>
    </xf>
    <xf numFmtId="0" fontId="2" fillId="5" borderId="2" applyAlignment="1" pivotButton="0" quotePrefix="0" xfId="0">
      <alignment horizontal="center" vertical="center"/>
    </xf>
    <xf numFmtId="0" fontId="5" fillId="2" borderId="1" applyAlignment="1" pivotButton="0" quotePrefix="0" xfId="0">
      <alignment horizontal="center" vertical="center" wrapText="1"/>
    </xf>
    <xf numFmtId="0" fontId="5" fillId="2" borderId="1" applyAlignment="1" pivotButton="0" quotePrefix="0" xfId="0">
      <alignment horizontal="center" vertical="center"/>
    </xf>
    <xf numFmtId="0" fontId="2" fillId="2"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cap="all" spc="150" baseline="0">
                <a:solidFill>
                  <a:schemeClr val="tx1">
                    <a:lumMod val="50000"/>
                    <a:lumOff val="50000"/>
                  </a:schemeClr>
                </a:solidFill>
                <a:latin typeface="+mn-lt"/>
                <a:ea typeface="+mn-ea"/>
                <a:cs typeface="+mn-cs"/>
              </a:defRPr>
            </a:pPr>
            <a:r>
              <a:rPr lang="en-GB"/>
              <a:t>Comparative Scoring Across 4 x Proposed Digital Solutions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cap="all" spc="150" baseline="0">
              <a:solidFill>
                <a:schemeClr val="tx1">
                  <a:lumMod val="50000"/>
                  <a:lumOff val="50000"/>
                </a:schemeClr>
              </a:solidFill>
              <a:latin typeface="+mn-lt"/>
              <a:ea typeface="+mn-ea"/>
              <a:cs typeface="+mn-cs"/>
            </a:defRPr>
          </a:pPr>
          <a:r>
            <a:t/>
          </a:r>
          <a:endParaRPr lang="en-US"/>
        </a:p>
      </txPr>
    </title>
    <plotArea>
      <layout>
        <manualLayout>
          <layoutTarget val="inner"/>
          <xMode val="edge"/>
          <yMode val="edge"/>
          <wMode val="factor"/>
          <hMode val="factor"/>
          <x val="0.2421087973140413"/>
          <y val="0.1498762213978884"/>
          <w val="0.5360869738998362"/>
          <h val="0.8274956619648792"/>
        </manualLayout>
      </layout>
      <radarChart>
        <radarStyle val="marker"/>
        <varyColors val="0"/>
        <ser>
          <idx val="0"/>
          <order val="0"/>
          <tx>
            <strRef>
              <f>Sheet1!$F$15</f>
              <strCache>
                <ptCount val="1"/>
                <pt idx="0">
                  <v>Proposed Digital Solution 1</v>
                </pt>
              </strCache>
            </strRef>
          </tx>
          <spPr>
            <a:ln xmlns:a="http://schemas.openxmlformats.org/drawingml/2006/main" w="25400" cap="rnd" cmpd="sng" algn="ctr">
              <a:solidFill>
                <a:schemeClr val="accent2"/>
              </a:solidFill>
              <a:prstDash val="sysDot"/>
              <a:round/>
            </a:ln>
          </spPr>
          <marker>
            <symbol val="circle"/>
            <size val="6"/>
            <spPr>
              <a:solidFill xmlns:a="http://schemas.openxmlformats.org/drawingml/2006/main">
                <a:schemeClr val="accent2"/>
              </a:solidFill>
              <a:ln xmlns:a="http://schemas.openxmlformats.org/drawingml/2006/main">
                <a:noFill/>
                <a:prstDash val="solid"/>
              </a:ln>
            </spPr>
          </marker>
          <cat>
            <strRef>
              <f>Sheet1!$E$16:$E$19</f>
              <strCache>
                <ptCount val="4"/>
                <pt idx="0">
                  <v>Organisational Relevance</v>
                </pt>
                <pt idx="1">
                  <v>Business Viability</v>
                </pt>
                <pt idx="2">
                  <v>Customer Value</v>
                </pt>
                <pt idx="3">
                  <v>Competitive Edge</v>
                </pt>
              </strCache>
            </strRef>
          </cat>
          <val>
            <numRef>
              <f>Sheet1!$F$16:$F$19</f>
              <numCache>
                <formatCode>General</formatCode>
                <ptCount val="4"/>
                <pt idx="0">
                  <v>0</v>
                </pt>
                <pt idx="1">
                  <v>0</v>
                </pt>
                <pt idx="2">
                  <v>0</v>
                </pt>
                <pt idx="3">
                  <v>0</v>
                </pt>
              </numCache>
            </numRef>
          </val>
        </ser>
        <ser>
          <idx val="1"/>
          <order val="1"/>
          <tx>
            <strRef>
              <f>Sheet1!$G$15</f>
              <strCache>
                <ptCount val="1"/>
                <pt idx="0">
                  <v>Proposed Digital Solution 2</v>
                </pt>
              </strCache>
            </strRef>
          </tx>
          <spPr>
            <a:ln xmlns:a="http://schemas.openxmlformats.org/drawingml/2006/main" w="25400" cap="rnd" cmpd="sng" algn="ctr">
              <a:solidFill>
                <a:schemeClr val="accent4"/>
              </a:solidFill>
              <a:prstDash val="sysDot"/>
              <a:round/>
            </a:ln>
          </spPr>
          <marker>
            <symbol val="circle"/>
            <size val="6"/>
            <spPr>
              <a:solidFill xmlns:a="http://schemas.openxmlformats.org/drawingml/2006/main">
                <a:schemeClr val="accent4"/>
              </a:solidFill>
              <a:ln xmlns:a="http://schemas.openxmlformats.org/drawingml/2006/main">
                <a:noFill/>
                <a:prstDash val="solid"/>
              </a:ln>
            </spPr>
          </marker>
          <cat>
            <strRef>
              <f>Sheet1!$E$16:$E$19</f>
              <strCache>
                <ptCount val="4"/>
                <pt idx="0">
                  <v>Organisational Relevance</v>
                </pt>
                <pt idx="1">
                  <v>Business Viability</v>
                </pt>
                <pt idx="2">
                  <v>Customer Value</v>
                </pt>
                <pt idx="3">
                  <v>Competitive Edge</v>
                </pt>
              </strCache>
            </strRef>
          </cat>
          <val>
            <numRef>
              <f>Sheet1!$G$16:$G$19</f>
              <numCache>
                <formatCode>General</formatCode>
                <ptCount val="4"/>
                <pt idx="0">
                  <v>0</v>
                </pt>
                <pt idx="1">
                  <v>0</v>
                </pt>
                <pt idx="2">
                  <v>0</v>
                </pt>
                <pt idx="3">
                  <v>0</v>
                </pt>
              </numCache>
            </numRef>
          </val>
        </ser>
        <ser>
          <idx val="2"/>
          <order val="2"/>
          <tx>
            <strRef>
              <f>Sheet1!$H$15</f>
              <strCache>
                <ptCount val="1"/>
                <pt idx="0">
                  <v>Proposed Digital Solution 3</v>
                </pt>
              </strCache>
            </strRef>
          </tx>
          <spPr>
            <a:ln xmlns:a="http://schemas.openxmlformats.org/drawingml/2006/main" w="25400" cap="rnd" cmpd="sng" algn="ctr">
              <a:solidFill>
                <a:schemeClr val="accent6"/>
              </a:solidFill>
              <a:prstDash val="sysDot"/>
              <a:round/>
            </a:ln>
          </spPr>
          <marker>
            <symbol val="circle"/>
            <size val="6"/>
            <spPr>
              <a:solidFill xmlns:a="http://schemas.openxmlformats.org/drawingml/2006/main">
                <a:schemeClr val="accent6"/>
              </a:solidFill>
              <a:ln xmlns:a="http://schemas.openxmlformats.org/drawingml/2006/main">
                <a:noFill/>
                <a:prstDash val="solid"/>
              </a:ln>
            </spPr>
          </marker>
          <cat>
            <strRef>
              <f>Sheet1!$E$16:$E$19</f>
              <strCache>
                <ptCount val="4"/>
                <pt idx="0">
                  <v>Organisational Relevance</v>
                </pt>
                <pt idx="1">
                  <v>Business Viability</v>
                </pt>
                <pt idx="2">
                  <v>Customer Value</v>
                </pt>
                <pt idx="3">
                  <v>Competitive Edge</v>
                </pt>
              </strCache>
            </strRef>
          </cat>
          <val>
            <numRef>
              <f>Sheet1!$H$16:$H$19</f>
              <numCache>
                <formatCode>General</formatCode>
                <ptCount val="4"/>
                <pt idx="0">
                  <v>0</v>
                </pt>
                <pt idx="1">
                  <v>0</v>
                </pt>
                <pt idx="2">
                  <v>0</v>
                </pt>
                <pt idx="3">
                  <v>0</v>
                </pt>
              </numCache>
            </numRef>
          </val>
        </ser>
        <ser>
          <idx val="3"/>
          <order val="3"/>
          <tx>
            <strRef>
              <f>Sheet1!$I$15</f>
              <strCache>
                <ptCount val="1"/>
                <pt idx="0">
                  <v>Proposed Digital Solution 4</v>
                </pt>
              </strCache>
            </strRef>
          </tx>
          <spPr>
            <a:ln xmlns:a="http://schemas.openxmlformats.org/drawingml/2006/main" w="25400" cap="rnd" cmpd="sng" algn="ctr">
              <a:solidFill>
                <a:schemeClr val="accent2">
                  <a:lumMod val="60000"/>
                </a:schemeClr>
              </a:solidFill>
              <a:prstDash val="sysDot"/>
              <a:round/>
            </a:ln>
          </spPr>
          <marker>
            <symbol val="circle"/>
            <size val="6"/>
            <spPr>
              <a:solidFill xmlns:a="http://schemas.openxmlformats.org/drawingml/2006/main">
                <a:schemeClr val="accent2">
                  <a:lumMod val="60000"/>
                </a:schemeClr>
              </a:solidFill>
              <a:ln xmlns:a="http://schemas.openxmlformats.org/drawingml/2006/main">
                <a:noFill/>
                <a:prstDash val="solid"/>
              </a:ln>
            </spPr>
          </marker>
          <cat>
            <strRef>
              <f>Sheet1!$E$16:$E$19</f>
              <strCache>
                <ptCount val="4"/>
                <pt idx="0">
                  <v>Organisational Relevance</v>
                </pt>
                <pt idx="1">
                  <v>Business Viability</v>
                </pt>
                <pt idx="2">
                  <v>Customer Value</v>
                </pt>
                <pt idx="3">
                  <v>Competitive Edge</v>
                </pt>
              </strCache>
            </strRef>
          </cat>
          <val>
            <numRef>
              <f>Sheet1!$I$16:$I$19</f>
              <numCache>
                <formatCode>General</formatCode>
                <ptCount val="4"/>
                <pt idx="0">
                  <v>0</v>
                </pt>
                <pt idx="1">
                  <v>0</v>
                </pt>
                <pt idx="2">
                  <v>0</v>
                </pt>
                <pt idx="3">
                  <v>0</v>
                </pt>
              </numCache>
            </numRef>
          </val>
        </ser>
        <dLbls>
          <showLegendKey val="0"/>
          <showVal val="0"/>
          <showCatName val="0"/>
          <showSerName val="0"/>
          <showPercent val="0"/>
          <showBubbleSize val="0"/>
        </dLbls>
        <axId val="1521071872"/>
        <axId val="1521073584"/>
      </radarChart>
      <catAx>
        <axId val="152107187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1" i="0" strike="noStrike" kern="1200" baseline="0">
                <a:solidFill>
                  <a:schemeClr val="tx1">
                    <a:lumMod val="65000"/>
                    <a:lumOff val="35000"/>
                  </a:schemeClr>
                </a:solidFill>
                <a:latin typeface="+mn-lt"/>
                <a:ea typeface="+mn-ea"/>
                <a:cs typeface="+mn-cs"/>
              </a:defRPr>
            </a:pPr>
            <a:r>
              <a:t/>
            </a:r>
            <a:endParaRPr lang="en-US"/>
          </a:p>
        </txPr>
        <crossAx val="1521073584"/>
        <crosses val="autoZero"/>
        <auto val="1"/>
        <lblAlgn val="ctr"/>
        <lblOffset val="100"/>
        <noMultiLvlLbl val="0"/>
      </catAx>
      <valAx>
        <axId val="152107358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521071872"/>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355600</colOff>
      <row>21</row>
      <rowOff>146050</rowOff>
    </from>
    <to>
      <col>8</col>
      <colOff>2362200</colOff>
      <row>56</row>
      <rowOff>88900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J207"/>
  <sheetViews>
    <sheetView tabSelected="1" zoomScale="118" zoomScaleNormal="100" workbookViewId="0">
      <selection activeCell="J15" sqref="J15"/>
    </sheetView>
  </sheetViews>
  <sheetFormatPr baseColWidth="10" defaultRowHeight="16"/>
  <cols>
    <col width="7" customWidth="1" style="14" min="1" max="1"/>
    <col width="16.6640625" customWidth="1" min="2" max="2"/>
    <col width="19" customWidth="1" min="3" max="3"/>
    <col width="44.1640625" customWidth="1" min="4" max="4"/>
    <col width="39" customWidth="1" min="5" max="5"/>
    <col width="48" customWidth="1" min="6" max="6"/>
    <col width="25" customWidth="1" min="7" max="7"/>
    <col width="42" customWidth="1" style="5" min="8" max="8"/>
    <col width="46.6640625" customWidth="1" min="9" max="9"/>
    <col width="40.83203125" customWidth="1" min="10" max="10"/>
    <col width="19" customWidth="1" min="11" max="11"/>
    <col width="19.33203125" customWidth="1" min="12" max="12"/>
    <col width="18.83203125" customWidth="1" min="13" max="13"/>
    <col width="20.5" customWidth="1" min="14" max="14"/>
    <col width="17.1640625" customWidth="1" min="15" max="15"/>
    <col width="61.5" customWidth="1" min="16" max="16"/>
    <col width="38" customWidth="1" style="14" min="17" max="17"/>
    <col width="10.83203125" customWidth="1" style="14" min="18" max="62"/>
  </cols>
  <sheetData>
    <row r="1" customFormat="1" s="14">
      <c r="H1" s="15" t="n"/>
    </row>
    <row r="2" ht="24" customFormat="1" customHeight="1" s="14">
      <c r="B2" s="16" t="inlineStr">
        <is>
          <t>MSIN0051 Digital Strategy &amp; Transformation - Team Assignment</t>
        </is>
      </c>
      <c r="H2" s="15" t="n"/>
    </row>
    <row r="3" customFormat="1" s="14">
      <c r="H3" s="15" t="n"/>
    </row>
    <row r="4" ht="27" customFormat="1" customHeight="1" s="14">
      <c r="B4" s="17" t="inlineStr">
        <is>
          <t>Digital Ideas Evaluation Tool</t>
        </is>
      </c>
      <c r="H4" s="15" t="n"/>
    </row>
    <row r="5" customFormat="1" s="14">
      <c r="H5" s="15" t="n"/>
    </row>
    <row r="6" ht="136" customFormat="1" customHeight="1" s="4">
      <c r="A6" s="18" t="n"/>
      <c r="B6" s="2" t="inlineStr">
        <is>
          <t>Proposed Digital Solutions</t>
        </is>
      </c>
      <c r="C6" s="1" t="inlineStr">
        <is>
          <t>Human/AI</t>
        </is>
      </c>
      <c r="D6" s="2" t="inlineStr">
        <is>
          <t>Brief description of the proposed digital initiative</t>
        </is>
      </c>
      <c r="E6" s="2" t="inlineStr">
        <is>
          <t>What are the key features of the proposed digital solution?</t>
        </is>
      </c>
      <c r="F6" s="1" t="inlineStr">
        <is>
          <t>Benefits of the proposed digital solutions</t>
        </is>
      </c>
      <c r="G6" s="2" t="inlineStr">
        <is>
          <t>Is the proposed digital idea new to the company?</t>
        </is>
      </c>
      <c r="H6" s="2" t="inlineStr">
        <is>
          <t>Strategic business challenge</t>
        </is>
      </c>
      <c r="I6" s="1" t="inlineStr">
        <is>
          <t>Key data and insight</t>
        </is>
      </c>
      <c r="J6" s="1" t="inlineStr">
        <is>
          <t>References and sources</t>
        </is>
      </c>
      <c r="K6" s="3" t="inlineStr">
        <is>
          <t>Organisational Relevance - Based on the insights gathered, is it a relevant digital solution for the organisation to spend its resources on?</t>
        </is>
      </c>
      <c r="L6" s="3" t="inlineStr">
        <is>
          <t>Viability for the organisation - is it possible for the organisation to design, launch and manage this new digital initiative?</t>
        </is>
      </c>
      <c r="M6" s="3" t="inlineStr">
        <is>
          <t>Customer value - if the organisation goes ahead with this new digital initiative, will it benefits customers and create new value for existing and new customers?</t>
        </is>
      </c>
      <c r="N6" s="3" t="inlineStr">
        <is>
          <t>Competitive edge - if the organisation goes ahead with this new digital initiative, will it help the company to better compete against the visible and emergent competitors?</t>
        </is>
      </c>
      <c r="O6" s="3" t="inlineStr">
        <is>
          <t>Overall score for each proposed Digital Solution</t>
        </is>
      </c>
      <c r="P6" s="1" t="inlineStr">
        <is>
          <t>Describe identified drawbacksof the proposed digital solutions</t>
        </is>
      </c>
      <c r="Q6" s="24" t="n"/>
      <c r="R6" s="18" t="n"/>
      <c r="S6" s="18" t="n"/>
      <c r="T6" s="18" t="n"/>
      <c r="U6" s="18" t="n"/>
      <c r="V6" s="18" t="n"/>
      <c r="W6" s="18" t="n"/>
      <c r="X6" s="18" t="n"/>
      <c r="Y6" s="18" t="n"/>
      <c r="Z6" s="18" t="n"/>
      <c r="AA6" s="18" t="n"/>
      <c r="AB6" s="18" t="n"/>
      <c r="AC6" s="18" t="n"/>
      <c r="AD6" s="18" t="n"/>
      <c r="AE6" s="18" t="n"/>
      <c r="AF6" s="18" t="n"/>
      <c r="AG6" s="18" t="n"/>
      <c r="AH6" s="18" t="n"/>
      <c r="AI6" s="18" t="n"/>
      <c r="AJ6" s="18" t="n"/>
      <c r="AK6" s="18" t="n"/>
      <c r="AL6" s="18" t="n"/>
      <c r="AM6" s="18" t="n"/>
      <c r="AN6" s="18" t="n"/>
      <c r="AO6" s="18" t="n"/>
      <c r="AP6" s="18" t="n"/>
      <c r="AQ6" s="18" t="n"/>
      <c r="AR6" s="18" t="n"/>
      <c r="AS6" s="18" t="n"/>
      <c r="AT6" s="18" t="n"/>
      <c r="AU6" s="18" t="n"/>
      <c r="AV6" s="18" t="n"/>
      <c r="AW6" s="18" t="n"/>
      <c r="AX6" s="18" t="n"/>
      <c r="AY6" s="18" t="n"/>
      <c r="AZ6" s="18" t="n"/>
      <c r="BA6" s="18" t="n"/>
      <c r="BB6" s="18" t="n"/>
      <c r="BC6" s="18" t="n"/>
      <c r="BD6" s="18" t="n"/>
      <c r="BE6" s="18" t="n"/>
      <c r="BF6" s="18" t="n"/>
      <c r="BG6" s="18" t="n"/>
      <c r="BH6" s="18" t="n"/>
      <c r="BI6" s="18" t="n"/>
      <c r="BJ6" s="18" t="n"/>
    </row>
    <row r="7" ht="69" customHeight="1">
      <c r="B7" s="10" t="inlineStr">
        <is>
          <t>Digital Solution 1</t>
        </is>
      </c>
      <c r="C7" s="11" t="inlineStr">
        <is>
          <t>Human-generated</t>
        </is>
      </c>
      <c r="D7" s="11" t="inlineStr">
        <is>
          <t>Heritage Pass: An AI-powered mobile app that creates personalized heritage journeys across National Trust sites, combining membership benefits with gamified experiences and social sharing features to attract Gen Z visitors while providing predictive analytics for site management.</t>
        </is>
      </c>
      <c r="E7" s="11" t="inlineStr">
        <is>
          <t>AI-powered personalized itinerary recommendations based on user preferences, gamified Heritage Hunter challenges with digital badges and rewards, social sharing integration with Instagram/TikTok for user-generated content, mobile-first booking with one-tap access and digital membership card, AR-enhanced site exploration with historical overlays, real-time crowd management and queue predictions, carbon footprint tracking for sustainable tourism</t>
        </is>
      </c>
      <c r="F7" s="11" t="inlineStr">
        <is>
          <t>Attracts Gen Z demographic (40K+ already joining) through mobile-first social-first approach, increases day-trip conversion to memberships through seamless digital experience, reduces operational costs through predictive visitor analytics, enhances visitor experience with personalized content, generates valuable data on visitor preferences and behavior patterns, builds digital community and user-generated marketing content</t>
        </is>
      </c>
      <c r="G7" s="12" t="inlineStr">
        <is>
          <t>Y</t>
        </is>
      </c>
      <c r="H7" s="13" t="inlineStr">
        <is>
          <t>Addresses the aging demographic crisis (67% of income from 55+) by creating a digital-native experience that appeals to Gen Z while maintaining accessibility for existing members. Tackles declining memberships (2.62M to 2.61M) by converting 25.9M day-trippers into engaged members through superior digital experience. Responds to competitive pressure from digitally-advanced rivals like English Heritage and Historic Royal Palaces.</t>
        </is>
      </c>
      <c r="I7" s="12" t="inlineStr">
        <is>
          <t>77% of travellers use social media to find destinations, 46% of NT bookings made on mobile devices confirms mobile-first strategy, 40K+ Gen Z members joined in one year demonstrates demographic appetite, relaxation is top travel feature (Euromonitor 2022), membership declined from 2.62M to 2.61M shows conversion mechanism needed, competitors investing heavily in digital platforms</t>
        </is>
      </c>
      <c r="J7" s="12" t="inlineStr">
        <is>
          <t>Euromonitor International. (2025). Mass market adopts slow travel features in 2025. https://www.euromonitor.com/article/mass-market-adopts-slow-travel-features-in-2025
National Trust. (2025). Surge in 18-25-year-old new members. https://www.nationaltrust.org.uk/services/media/surge-in-18-25-year-old-members
DCMS. (2022). UK cultural participation data. Department for Digital, Culture, Media &amp; Sport.</t>
        </is>
      </c>
      <c r="K7" s="25" t="n">
        <v>9</v>
      </c>
      <c r="L7" s="26" t="n">
        <v>8</v>
      </c>
      <c r="M7" s="26" t="n">
        <v>9</v>
      </c>
      <c r="N7" s="26" t="n">
        <v>8</v>
      </c>
      <c r="O7" s="27">
        <f>SUM(K7:N7)</f>
        <v/>
      </c>
      <c r="P7" s="11" t="inlineStr">
        <is>
          <t>Initial development costs estimated at £2-3M, requires significant data infrastructure, privacy concerns with AI personalization, risk of alienating older members who prefer traditional experiences, ongoing maintenance and content creation demands, dependency on mobile network coverage at rural sites</t>
        </is>
      </c>
    </row>
    <row r="8" ht="83" customHeight="1">
      <c r="B8" s="10" t="inlineStr">
        <is>
          <t>Digital Solution 2</t>
        </is>
      </c>
      <c r="C8" s="11" t="inlineStr">
        <is>
          <t>Human-generated</t>
        </is>
      </c>
      <c r="D8" s="11" t="inlineStr">
        <is>
          <t>SmartHeritage: An integrated IoT sensor network across all 500+ historic sites that uses AI to predict maintenance needs, optimize energy use, and prevent climate-related damage, reducing conservation costs by 30% while enabling data-driven asset management.</t>
        </is>
      </c>
      <c r="E8" s="11" t="inlineStr">
        <is>
          <t>IoT sensors monitoring humidity, temperature, structural stress, visitor flow, AI predictive models for maintenance scheduling and climate risk assessment, digital twin technology for virtual site monitoring and scenario planning, automated alert systems for immediate intervention needs, energy optimization algorithms reducing operational costs, integration with RICHeS programme digital standards, real-time dashboard for site managers and conservation teams, historical data analytics for long-term preservation planning</t>
        </is>
      </c>
      <c r="F8" s="11" t="inlineStr">
        <is>
          <t>Reduces reactive repair costs projected to reach £200M+ by 2030, prevents catastrophic damage through early intervention, optimizes conservation budget allocation across 500+ sites, supports climate resilience strategy aligned with £80M RICHeS programme, enables evidence-based decision making for trustees, reduces carbon footprint through energy optimization, positions Trust as innovation leader in heritage sector</t>
        </is>
      </c>
      <c r="G8" s="12" t="inlineStr">
        <is>
          <t>Y</t>
        </is>
      </c>
      <c r="H8" s="13" t="inlineStr">
        <is>
          <t>Directly addresses the £100M+ funding gap driven by escalating conservation costs due to climate change. Solves the strategic challenge of managing 500+ sites with limited resources by enabling predictive rather than reactive conservation. Aligns with Board's digital transformation agenda evidenced by Scott Beaumont appointment and supports transition to active heritage model with £18M Bath Assembly Rooms investment.</t>
        </is>
      </c>
      <c r="I8" s="12" t="inlineStr">
        <is>
          <t>Conservation costs projected to reach £200M+ annually by 2030 requires urgent cost control, £80M UKRI RICHeS programme validates Digital Twinning as industry standard, £18M Bath Assembly Rooms overhaul demonstrates commitment to tech investment, Scott Beaumont (Google Asia Pacific President) joined Board Sept 2025 signals digital priority, 500+ sites create management complexity requiring centralized oversight, total expenditure £824.4M outpacing income growth creates efficiency imperative</t>
        </is>
      </c>
      <c r="J8" s="12" t="inlineStr">
        <is>
          <t>UKRI. (2024). Research infrastructure for conservation and heritage science (RICHeS). https://www.ukri.org/what-we-do/browse-our-areas-of-investment-and-support/research-infrastructure-for-conservation-and-heritage-science-riches/
National Trust. (2025). Annual report 2024-25. https://nt.global.ssl.fastly.net/binaries/content/assets/website/national/pdf/annual-report-2024-25.pdf
RecreOVR. (2024). RecreO headsets at the National Trust. https://www.recreovr.co.uk/research-publications/recreo-headsets-at-the-national-trust</t>
        </is>
      </c>
      <c r="K8" s="25" t="n">
        <v>10</v>
      </c>
      <c r="L8" s="26" t="n">
        <v>7</v>
      </c>
      <c r="M8" s="26" t="n">
        <v>6</v>
      </c>
      <c r="N8" s="26" t="n">
        <v>9</v>
      </c>
      <c r="O8" s="27">
        <f>SUM(K8:N8)</f>
        <v/>
      </c>
      <c r="P8" s="11" t="inlineStr">
        <is>
          <t>High upfront capital investment (£15-20M across all sites), requires specialized technical expertise, sensor maintenance and replacement costs, data security and infrastructure risks, integration complexity with existing systems, potential staff resistance to new workflows, ROI timeline of 5-7 years may test patience</t>
        </is>
      </c>
    </row>
    <row r="9" ht="87" customHeight="1">
      <c r="B9" s="6" t="inlineStr">
        <is>
          <t>Digital Solution 3</t>
        </is>
      </c>
      <c r="C9" s="7" t="inlineStr">
        <is>
          <t>AI-generated</t>
        </is>
      </c>
      <c r="D9" s="8" t="inlineStr">
        <is>
          <t>Heritage@Home: A premium virtual membership tier offering live-streamed curator talks, VR property tours, exclusive behind-the-scenes content, and online educational workshops, monetizing remote audiences globally while maintaining physical site access for traditional members.</t>
        </is>
      </c>
      <c r="E9" s="8" t="inlineStr">
        <is>
          <t>Live-streamed events from historic properties with expert commentary, VR/360-degree tours of normally inaccessible areas (private rooms, conservation labs), exclusive digital content library with historical documentaries, online learning workshops on conservation architecture and gardening, virtual family activities and children's educational programs, global community platform for heritage enthusiasts, flexible pricing tiers (£5/month digital-only to £15/month hybrid), digital gift memberships for international audiences</t>
        </is>
      </c>
      <c r="F9" s="8" t="inlineStr">
        <is>
          <t>Creates new revenue stream from global audience beyond UK geography, monetizes existing content and expertise with minimal marginal cost, provides accessible option for mobility-impaired or distant audiences, maintains engagement during poor weather or site closures, builds international brand presence and cultural diplomacy, offers lower-cost entry point for younger demographics, generates year-round revenue not dependent on seasonal visitation</t>
        </is>
      </c>
      <c r="G9" s="8" t="inlineStr">
        <is>
          <t>Y</t>
        </is>
      </c>
      <c r="H9" s="9" t="inlineStr">
        <is>
          <t>Addresses revenue erosion from pay-on-the-day preference by creating flexible pricing tiers. Tackles geographic limitations of physical estate by monetizing remote global audience. Responds to 20.8% UK cost increase since 2021 by offering more affordable digital-only option. Captures part of £3B decline in UK tourism spending by pivoting to virtual experiences that performed well post-pandemic.</t>
        </is>
      </c>
      <c r="I9" s="8" t="inlineStr">
        <is>
          <t>Customers preferring one-time tickets over memberships due to 20.8% cost increases, UK tourism spending declined by £3B provides virtual alternative to capture lost revenue, VR/AR technologies improving visitor experience per emerging tech research, post-pandemic acceleration of digital cultural consumption, international heritage tourism interest but geographic barriers, 46% mobile bookings show digital readiness of customer base</t>
        </is>
      </c>
      <c r="J9" s="8" t="inlineStr">
        <is>
          <t>New Economics Foundation. (2025). Domestic tourism spending in Britain falls by £3bn. https://neweconomics.org/2025/04/domestic-tourism-spending-in-britain-falls-by-3bn-nef-analysis-reveals
UKRI Gateway to Research. (2024). Digital heritage research projects. https://gtr.ukri.org/projects?ref=AH%2FX009289%2F1
National Trust. (2025). Surge in 18-25-year-old new members. https://www.nationaltrust.org.uk/services/media/surge-in-18-25-year-old-members</t>
        </is>
      </c>
      <c r="K9" s="25" t="n">
        <v>7</v>
      </c>
      <c r="L9" s="26" t="n">
        <v>9</v>
      </c>
      <c r="M9" s="26" t="n">
        <v>8</v>
      </c>
      <c r="N9" s="26" t="n">
        <v>7</v>
      </c>
      <c r="O9" s="27">
        <f>SUM(K9:N9)</f>
        <v/>
      </c>
      <c r="P9" s="7" t="inlineStr">
        <is>
          <t>Content creation demands significant ongoing resources, risk of cannibalizing physical memberships, requires strong digital marketing capability, VR hardware barriers for some users, potential quality concerns compared to in-person experience, may dilute brand perception as primarily physical heritage organization</t>
        </is>
      </c>
    </row>
    <row r="10" ht="108" customHeight="1">
      <c r="B10" s="6" t="inlineStr">
        <is>
          <t>Digital Solution 4</t>
        </is>
      </c>
      <c r="C10" s="7" t="inlineStr">
        <is>
          <t>AI-generated</t>
        </is>
      </c>
      <c r="D10" s="8" t="inlineStr">
        <is>
          <t>GreenHeritage: A blockchain-based carbon credit marketplace where businesses offset emissions by funding National Trust conservation projects, leveraging the Trust's 250,000 hectares to create verified carbon sequestration credits while funding the £200M+ conservation shortfall.</t>
        </is>
      </c>
      <c r="E10" s="8" t="inlineStr">
        <is>
          <t>Blockchain verification of carbon sequestration from NT woodlands and peatlands, corporate partnership portal for carbon credit purchasing, transparent impact tracking and reporting dashboard, tiered sponsorship packages linked to specific conservation projects, educational content on nature-based climate solutions, API integration for corporate ESG reporting, PR and branding benefits for corporate partners, annual impact reports with verified carbon metrics</t>
        </is>
      </c>
      <c r="F10" s="8" t="inlineStr">
        <is>
          <t>Creates substantial new revenue stream (potentially £50-100M annually), directly funds conservation activities without donor/member dependence, leverages existing 250,000-hectare land asset for new value creation, aligns with corporate ESG demand and net-zero commitments, positions NT as climate solution provider not just heritage custodian, generates unrestricted funding usable across organization, builds strategic corporate partnerships for long-term support</t>
        </is>
      </c>
      <c r="G10" s="8" t="inlineStr">
        <is>
          <t>Y</t>
        </is>
      </c>
      <c r="H10" s="9" t="inlineStr">
        <is>
          <t>Addresses the £100M+ funding gap and over-reliance on aging demographic by creating entirely new revenue source independent of membership or visitation. Tackles dependence on investment gains (£84.7M) by diversifying income streams. Responds to climate-driven cost escalation by making climate action itself a revenue generator. Aligns with RICHeS programme and active heritage transition.</t>
        </is>
      </c>
      <c r="I10" s="8" t="inlineStr">
        <is>
          <t>Net increase in funds driven by investment gains (£84.7M) rather than operations shows unsustainable model, conservation costs escalating due to climate change projected £200M+ by 2030, corporate carbon credit market growing rapidly with net-zero commitments, NT manages 250,000 hectares with significant carbon sequestration potential, £123.2M fundraising shows trust in NT brand that corporates would invest, strategic pivot to active heritage requires new business models</t>
        </is>
      </c>
      <c r="J10" s="8" t="inlineStr">
        <is>
          <t>National Trust. (2025). Annual report and financial statements 2024-25. https://www.nationaltrust.org.uk/about-us/annual-reports-and-accounts
Third Sector. (2025). National Trust income rises by more than £40m as costs increase. https://www.thirdsector.co.uk/national-trusts-income-40m/finance/article/1931609
Museums Association. (2025). National Trust reports solid financial position despite economic pressures. Museums Journal.</t>
        </is>
      </c>
      <c r="K10" s="25" t="n">
        <v>8</v>
      </c>
      <c r="L10" s="26" t="n">
        <v>6</v>
      </c>
      <c r="M10" s="26" t="n">
        <v>5</v>
      </c>
      <c r="N10" s="26" t="n">
        <v>10</v>
      </c>
      <c r="O10" s="27">
        <f>SUM(K10:N10)</f>
        <v/>
      </c>
      <c r="P10" s="7" t="inlineStr">
        <is>
          <t>Regulatory complexity around carbon credit verification, reputational risk if perceived as greenwashing, blockchain technology adoption challenges, requires specialized expertise in carbon markets, potential conflicts with conservation objectives if commercialized, significant upfront investment in verification infrastructure, market volatility in carbon prices</t>
        </is>
      </c>
    </row>
    <row r="11" customFormat="1" s="14">
      <c r="H11" s="15" t="n"/>
    </row>
    <row r="12" customFormat="1" s="14">
      <c r="H12" s="15" t="n"/>
    </row>
    <row r="13" customFormat="1" s="14">
      <c r="H13" s="15" t="n"/>
    </row>
    <row r="14" customFormat="1" s="14">
      <c r="H14" s="15" t="n"/>
    </row>
    <row r="15" customFormat="1" s="14">
      <c r="E15" s="19" t="n"/>
      <c r="F15" s="20" t="inlineStr">
        <is>
          <t>Proposed Digital Solution 1</t>
        </is>
      </c>
      <c r="G15" s="20" t="inlineStr">
        <is>
          <t>Proposed Digital Solution 2</t>
        </is>
      </c>
      <c r="H15" s="20" t="inlineStr">
        <is>
          <t>Proposed Digital Solution 3</t>
        </is>
      </c>
      <c r="I15" s="20" t="inlineStr">
        <is>
          <t>Proposed Digital Solution 4</t>
        </is>
      </c>
    </row>
    <row r="16" customFormat="1" s="14">
      <c r="E16" s="21" t="inlineStr">
        <is>
          <t>Organisational Relevance</t>
        </is>
      </c>
      <c r="F16" s="22">
        <f>K7</f>
        <v/>
      </c>
      <c r="G16" s="22">
        <f>K8</f>
        <v/>
      </c>
      <c r="H16" s="23">
        <f>K9</f>
        <v/>
      </c>
      <c r="I16" s="22">
        <f>K10</f>
        <v/>
      </c>
    </row>
    <row r="17" customFormat="1" s="14">
      <c r="E17" s="21" t="inlineStr">
        <is>
          <t>Business Viability</t>
        </is>
      </c>
      <c r="F17" s="22">
        <f>L7</f>
        <v/>
      </c>
      <c r="G17" s="22">
        <f>L8</f>
        <v/>
      </c>
      <c r="H17" s="22">
        <f>L9</f>
        <v/>
      </c>
      <c r="I17" s="22">
        <f>L10</f>
        <v/>
      </c>
    </row>
    <row r="18" customFormat="1" s="14">
      <c r="E18" s="21" t="inlineStr">
        <is>
          <t>Customer Value</t>
        </is>
      </c>
      <c r="F18" s="22">
        <f>M7</f>
        <v/>
      </c>
      <c r="G18" s="22">
        <f>M8</f>
        <v/>
      </c>
      <c r="H18" s="22">
        <f>M9</f>
        <v/>
      </c>
      <c r="I18" s="22">
        <f>M10</f>
        <v/>
      </c>
    </row>
    <row r="19" customFormat="1" s="14">
      <c r="E19" s="21" t="inlineStr">
        <is>
          <t>Competitive Edge</t>
        </is>
      </c>
      <c r="F19" s="22">
        <f>N7</f>
        <v/>
      </c>
      <c r="G19" s="22">
        <f>N8</f>
        <v/>
      </c>
      <c r="H19" s="22">
        <f>N9</f>
        <v/>
      </c>
      <c r="I19" s="22">
        <f>N10</f>
        <v/>
      </c>
    </row>
    <row r="20" customFormat="1" s="14">
      <c r="H20" s="15" t="n"/>
    </row>
    <row r="21" customFormat="1" s="14">
      <c r="H21" s="15" t="n"/>
    </row>
    <row r="22" customFormat="1" s="14">
      <c r="H22" s="15" t="n"/>
    </row>
    <row r="23" customFormat="1" s="14">
      <c r="H23" s="15" t="n"/>
    </row>
    <row r="24" customFormat="1" s="14">
      <c r="H24" s="15" t="n"/>
    </row>
    <row r="25" customFormat="1" s="14">
      <c r="H25" s="15" t="n"/>
    </row>
    <row r="26" customFormat="1" s="14">
      <c r="H26" s="15" t="n"/>
    </row>
    <row r="27" customFormat="1" s="14">
      <c r="H27" s="15" t="n"/>
    </row>
    <row r="28" customFormat="1" s="14">
      <c r="H28" s="15" t="n"/>
    </row>
    <row r="29" customFormat="1" s="14">
      <c r="H29" s="15" t="n"/>
    </row>
    <row r="30" customFormat="1" s="14">
      <c r="H30" s="15" t="n"/>
    </row>
    <row r="31" customFormat="1" s="14">
      <c r="H31" s="15" t="n"/>
    </row>
    <row r="32" customFormat="1" s="14">
      <c r="H32" s="15" t="n"/>
    </row>
    <row r="33" customFormat="1" s="14">
      <c r="H33" s="15" t="n"/>
    </row>
    <row r="34" customFormat="1" s="14">
      <c r="H34" s="15" t="n"/>
    </row>
    <row r="35" customFormat="1" s="14">
      <c r="H35" s="15" t="n"/>
    </row>
    <row r="36" customFormat="1" s="14">
      <c r="H36" s="15" t="n"/>
    </row>
    <row r="37" customFormat="1" s="14">
      <c r="H37" s="15" t="n"/>
    </row>
    <row r="38" customFormat="1" s="14">
      <c r="H38" s="15" t="n"/>
    </row>
    <row r="39" customFormat="1" s="14">
      <c r="H39" s="15" t="n"/>
    </row>
    <row r="40" customFormat="1" s="14">
      <c r="H40" s="15" t="n"/>
    </row>
    <row r="41" customFormat="1" s="14">
      <c r="H41" s="15" t="n"/>
    </row>
    <row r="42" customFormat="1" s="14">
      <c r="H42" s="15" t="n"/>
    </row>
    <row r="43" customFormat="1" s="14">
      <c r="H43" s="15" t="n"/>
    </row>
    <row r="44" customFormat="1" s="14">
      <c r="H44" s="15" t="n"/>
    </row>
    <row r="45" customFormat="1" s="14">
      <c r="H45" s="15" t="n"/>
    </row>
    <row r="46" customFormat="1" s="14">
      <c r="H46" s="15" t="n"/>
    </row>
    <row r="47" customFormat="1" s="14">
      <c r="H47" s="15" t="n"/>
    </row>
    <row r="48" customFormat="1" s="14">
      <c r="H48" s="15" t="n"/>
    </row>
    <row r="49" customFormat="1" s="14">
      <c r="H49" s="15" t="n"/>
    </row>
    <row r="50" customFormat="1" s="14">
      <c r="H50" s="15" t="n"/>
    </row>
    <row r="51" customFormat="1" s="14">
      <c r="H51" s="15" t="n"/>
    </row>
    <row r="52" customFormat="1" s="14">
      <c r="H52" s="15" t="n"/>
    </row>
    <row r="53" customFormat="1" s="14">
      <c r="H53" s="15" t="n"/>
    </row>
    <row r="54" customFormat="1" s="14">
      <c r="H54" s="15" t="n"/>
    </row>
    <row r="55" customFormat="1" s="14">
      <c r="H55" s="15" t="n"/>
    </row>
    <row r="56" customFormat="1" s="14">
      <c r="H56" s="15" t="n"/>
    </row>
    <row r="57" customFormat="1" s="14">
      <c r="H57" s="15" t="n"/>
    </row>
    <row r="58" customFormat="1" s="14">
      <c r="H58" s="15" t="n"/>
    </row>
    <row r="59" customFormat="1" s="14">
      <c r="H59" s="15" t="n"/>
    </row>
    <row r="60" customFormat="1" s="14">
      <c r="H60" s="15" t="n"/>
    </row>
    <row r="61" customFormat="1" s="14">
      <c r="H61" s="15" t="n"/>
    </row>
    <row r="62" customFormat="1" s="14">
      <c r="H62" s="15" t="n"/>
    </row>
    <row r="63" customFormat="1" s="14">
      <c r="H63" s="15" t="n"/>
    </row>
    <row r="64" customFormat="1" s="14">
      <c r="H64" s="15" t="n"/>
    </row>
    <row r="65" customFormat="1" s="14">
      <c r="H65" s="15" t="n"/>
    </row>
    <row r="66" customFormat="1" s="14">
      <c r="H66" s="15" t="n"/>
    </row>
    <row r="67" customFormat="1" s="14">
      <c r="H67" s="15" t="n"/>
    </row>
    <row r="68" customFormat="1" s="14">
      <c r="H68" s="15" t="n"/>
    </row>
    <row r="69" customFormat="1" s="14">
      <c r="H69" s="15" t="n"/>
    </row>
    <row r="70" customFormat="1" s="14">
      <c r="H70" s="15" t="n"/>
    </row>
    <row r="71" customFormat="1" s="14">
      <c r="H71" s="15" t="n"/>
    </row>
    <row r="72" customFormat="1" s="14">
      <c r="H72" s="15" t="n"/>
    </row>
    <row r="73" customFormat="1" s="14">
      <c r="H73" s="15" t="n"/>
    </row>
    <row r="74" customFormat="1" s="14">
      <c r="H74" s="15" t="n"/>
    </row>
    <row r="75" customFormat="1" s="14">
      <c r="H75" s="15" t="n"/>
    </row>
    <row r="76" customFormat="1" s="14">
      <c r="H76" s="15" t="n"/>
    </row>
    <row r="77" customFormat="1" s="14">
      <c r="H77" s="15" t="n"/>
    </row>
    <row r="78" customFormat="1" s="14">
      <c r="H78" s="15" t="n"/>
    </row>
    <row r="79" customFormat="1" s="14">
      <c r="H79" s="15" t="n"/>
    </row>
    <row r="80" customFormat="1" s="14">
      <c r="H80" s="15" t="n"/>
    </row>
    <row r="81" customFormat="1" s="14">
      <c r="H81" s="15" t="n"/>
    </row>
    <row r="82" customFormat="1" s="14">
      <c r="H82" s="15" t="n"/>
    </row>
    <row r="83" customFormat="1" s="14">
      <c r="H83" s="15" t="n"/>
    </row>
    <row r="84" customFormat="1" s="14">
      <c r="H84" s="15" t="n"/>
    </row>
    <row r="85" customFormat="1" s="14">
      <c r="H85" s="15" t="n"/>
    </row>
    <row r="86" customFormat="1" s="14">
      <c r="H86" s="15" t="n"/>
    </row>
    <row r="87" customFormat="1" s="14">
      <c r="H87" s="15" t="n"/>
    </row>
    <row r="88" customFormat="1" s="14">
      <c r="H88" s="15" t="n"/>
    </row>
    <row r="89" customFormat="1" s="14">
      <c r="H89" s="15" t="n"/>
    </row>
    <row r="90" customFormat="1" s="14">
      <c r="H90" s="15" t="n"/>
    </row>
    <row r="91" customFormat="1" s="14">
      <c r="H91" s="15" t="n"/>
    </row>
    <row r="92" customFormat="1" s="14">
      <c r="H92" s="15" t="n"/>
    </row>
    <row r="93" customFormat="1" s="14">
      <c r="H93" s="15" t="n"/>
    </row>
    <row r="94" customFormat="1" s="14">
      <c r="H94" s="15" t="n"/>
    </row>
    <row r="95" customFormat="1" s="14">
      <c r="H95" s="15" t="n"/>
    </row>
    <row r="96" customFormat="1" s="14">
      <c r="H96" s="15" t="n"/>
    </row>
    <row r="97" customFormat="1" s="14">
      <c r="H97" s="15" t="n"/>
    </row>
    <row r="98" customFormat="1" s="14">
      <c r="H98" s="15" t="n"/>
    </row>
    <row r="99" customFormat="1" s="14">
      <c r="H99" s="15" t="n"/>
    </row>
    <row r="100" customFormat="1" s="14">
      <c r="H100" s="15" t="n"/>
    </row>
    <row r="101" customFormat="1" s="14">
      <c r="H101" s="15" t="n"/>
    </row>
    <row r="102" customFormat="1" s="14">
      <c r="H102" s="15" t="n"/>
    </row>
    <row r="103" customFormat="1" s="14">
      <c r="H103" s="15" t="n"/>
    </row>
    <row r="104" customFormat="1" s="14">
      <c r="H104" s="15" t="n"/>
    </row>
    <row r="105" customFormat="1" s="14">
      <c r="H105" s="15" t="n"/>
    </row>
    <row r="106" customFormat="1" s="14">
      <c r="H106" s="15" t="n"/>
    </row>
    <row r="107" customFormat="1" s="14">
      <c r="H107" s="15" t="n"/>
    </row>
    <row r="108" customFormat="1" s="14">
      <c r="H108" s="15" t="n"/>
    </row>
    <row r="109" customFormat="1" s="14">
      <c r="H109" s="15" t="n"/>
    </row>
    <row r="110" customFormat="1" s="14">
      <c r="H110" s="15" t="n"/>
    </row>
    <row r="111" customFormat="1" s="14">
      <c r="H111" s="15" t="n"/>
    </row>
    <row r="112" customFormat="1" s="14">
      <c r="H112" s="15" t="n"/>
    </row>
    <row r="113" customFormat="1" s="14">
      <c r="H113" s="15" t="n"/>
    </row>
    <row r="114" customFormat="1" s="14">
      <c r="H114" s="15" t="n"/>
    </row>
    <row r="115" customFormat="1" s="14">
      <c r="H115" s="15" t="n"/>
    </row>
    <row r="116" customFormat="1" s="14">
      <c r="H116" s="15" t="n"/>
    </row>
    <row r="117" customFormat="1" s="14">
      <c r="H117" s="15" t="n"/>
    </row>
    <row r="118" customFormat="1" s="14">
      <c r="H118" s="15" t="n"/>
    </row>
    <row r="119" customFormat="1" s="14">
      <c r="H119" s="15" t="n"/>
    </row>
    <row r="120" customFormat="1" s="14">
      <c r="H120" s="15" t="n"/>
    </row>
    <row r="121" customFormat="1" s="14">
      <c r="H121" s="15" t="n"/>
    </row>
    <row r="122" customFormat="1" s="14">
      <c r="H122" s="15" t="n"/>
    </row>
    <row r="123" customFormat="1" s="14">
      <c r="H123" s="15" t="n"/>
    </row>
    <row r="124" customFormat="1" s="14">
      <c r="H124" s="15" t="n"/>
    </row>
    <row r="125" customFormat="1" s="14">
      <c r="H125" s="15" t="n"/>
    </row>
    <row r="126" customFormat="1" s="14">
      <c r="H126" s="15" t="n"/>
    </row>
    <row r="127" customFormat="1" s="14">
      <c r="H127" s="15" t="n"/>
    </row>
    <row r="128" customFormat="1" s="14">
      <c r="H128" s="15" t="n"/>
    </row>
    <row r="129" customFormat="1" s="14">
      <c r="H129" s="15" t="n"/>
    </row>
    <row r="130" customFormat="1" s="14">
      <c r="H130" s="15" t="n"/>
    </row>
    <row r="131" customFormat="1" s="14">
      <c r="H131" s="15" t="n"/>
    </row>
    <row r="132" customFormat="1" s="14">
      <c r="H132" s="15" t="n"/>
    </row>
    <row r="133" customFormat="1" s="14">
      <c r="H133" s="15" t="n"/>
    </row>
    <row r="134" customFormat="1" s="14">
      <c r="H134" s="15" t="n"/>
    </row>
    <row r="135" customFormat="1" s="14">
      <c r="H135" s="15" t="n"/>
    </row>
    <row r="136" customFormat="1" s="14">
      <c r="H136" s="15" t="n"/>
    </row>
    <row r="137" customFormat="1" s="14">
      <c r="H137" s="15" t="n"/>
    </row>
    <row r="138" customFormat="1" s="14">
      <c r="H138" s="15" t="n"/>
    </row>
    <row r="139" customFormat="1" s="14">
      <c r="H139" s="15" t="n"/>
    </row>
    <row r="140" customFormat="1" s="14">
      <c r="H140" s="15" t="n"/>
    </row>
    <row r="141" customFormat="1" s="14">
      <c r="H141" s="15" t="n"/>
    </row>
    <row r="142" customFormat="1" s="14">
      <c r="H142" s="15" t="n"/>
    </row>
    <row r="143" customFormat="1" s="14">
      <c r="H143" s="15" t="n"/>
    </row>
    <row r="144" customFormat="1" s="14">
      <c r="H144" s="15" t="n"/>
    </row>
    <row r="145" customFormat="1" s="14">
      <c r="H145" s="15" t="n"/>
    </row>
    <row r="146" customFormat="1" s="14">
      <c r="H146" s="15" t="n"/>
    </row>
    <row r="147" customFormat="1" s="14">
      <c r="H147" s="15" t="n"/>
    </row>
    <row r="148" customFormat="1" s="14">
      <c r="H148" s="15" t="n"/>
    </row>
    <row r="149" customFormat="1" s="14">
      <c r="H149" s="15" t="n"/>
    </row>
    <row r="150" customFormat="1" s="14">
      <c r="H150" s="15" t="n"/>
    </row>
    <row r="151" customFormat="1" s="14">
      <c r="H151" s="15" t="n"/>
    </row>
    <row r="152" customFormat="1" s="14">
      <c r="H152" s="15" t="n"/>
    </row>
    <row r="153" customFormat="1" s="14">
      <c r="H153" s="15" t="n"/>
    </row>
    <row r="154" customFormat="1" s="14">
      <c r="H154" s="15" t="n"/>
    </row>
    <row r="155" customFormat="1" s="14">
      <c r="H155" s="15" t="n"/>
    </row>
    <row r="156" customFormat="1" s="14">
      <c r="H156" s="15" t="n"/>
    </row>
    <row r="157" customFormat="1" s="14">
      <c r="H157" s="15" t="n"/>
    </row>
    <row r="158" customFormat="1" s="14">
      <c r="H158" s="15" t="n"/>
    </row>
    <row r="159" customFormat="1" s="14">
      <c r="H159" s="15" t="n"/>
    </row>
    <row r="160" customFormat="1" s="14">
      <c r="H160" s="15" t="n"/>
    </row>
    <row r="161" customFormat="1" s="14">
      <c r="H161" s="15" t="n"/>
    </row>
    <row r="162" customFormat="1" s="14">
      <c r="H162" s="15" t="n"/>
    </row>
    <row r="163" customFormat="1" s="14">
      <c r="H163" s="15" t="n"/>
    </row>
    <row r="164" customFormat="1" s="14">
      <c r="H164" s="15" t="n"/>
    </row>
    <row r="165" customFormat="1" s="14">
      <c r="H165" s="15" t="n"/>
    </row>
    <row r="166" customFormat="1" s="14">
      <c r="H166" s="15" t="n"/>
    </row>
    <row r="167" customFormat="1" s="14">
      <c r="H167" s="15" t="n"/>
    </row>
    <row r="168" customFormat="1" s="14">
      <c r="H168" s="15" t="n"/>
    </row>
    <row r="169" customFormat="1" s="14">
      <c r="H169" s="15" t="n"/>
    </row>
    <row r="170" customFormat="1" s="14">
      <c r="H170" s="15" t="n"/>
    </row>
    <row r="171" customFormat="1" s="14">
      <c r="H171" s="15" t="n"/>
    </row>
    <row r="172" customFormat="1" s="14">
      <c r="H172" s="15" t="n"/>
    </row>
    <row r="173" customFormat="1" s="14">
      <c r="H173" s="15" t="n"/>
    </row>
    <row r="174" customFormat="1" s="14">
      <c r="H174" s="15" t="n"/>
    </row>
    <row r="175" customFormat="1" s="14">
      <c r="H175" s="15" t="n"/>
    </row>
    <row r="176" customFormat="1" s="14">
      <c r="H176" s="15" t="n"/>
    </row>
    <row r="177" customFormat="1" s="14">
      <c r="H177" s="15" t="n"/>
    </row>
    <row r="178" customFormat="1" s="14">
      <c r="H178" s="15" t="n"/>
    </row>
    <row r="179" customFormat="1" s="14">
      <c r="H179" s="15" t="n"/>
    </row>
    <row r="180" customFormat="1" s="14">
      <c r="H180" s="15" t="n"/>
    </row>
    <row r="181" customFormat="1" s="14">
      <c r="H181" s="15" t="n"/>
    </row>
    <row r="182" customFormat="1" s="14">
      <c r="H182" s="15" t="n"/>
    </row>
    <row r="183" customFormat="1" s="14">
      <c r="H183" s="15" t="n"/>
    </row>
    <row r="184" customFormat="1" s="14">
      <c r="H184" s="15" t="n"/>
    </row>
    <row r="185" customFormat="1" s="14">
      <c r="H185" s="15" t="n"/>
    </row>
    <row r="186" customFormat="1" s="14">
      <c r="H186" s="15" t="n"/>
    </row>
    <row r="187" customFormat="1" s="14">
      <c r="H187" s="15" t="n"/>
    </row>
    <row r="188" customFormat="1" s="14">
      <c r="H188" s="15" t="n"/>
    </row>
    <row r="189" customFormat="1" s="14">
      <c r="H189" s="15" t="n"/>
    </row>
    <row r="190" customFormat="1" s="14">
      <c r="H190" s="15" t="n"/>
    </row>
    <row r="191" customFormat="1" s="14">
      <c r="H191" s="15" t="n"/>
    </row>
    <row r="192" customFormat="1" s="14">
      <c r="H192" s="15" t="n"/>
    </row>
    <row r="193" customFormat="1" s="14">
      <c r="H193" s="15" t="n"/>
    </row>
    <row r="194" customFormat="1" s="14">
      <c r="H194" s="15" t="n"/>
    </row>
    <row r="195" customFormat="1" s="14">
      <c r="H195" s="15" t="n"/>
    </row>
    <row r="196" customFormat="1" s="14">
      <c r="H196" s="15" t="n"/>
    </row>
    <row r="197" customFormat="1" s="14">
      <c r="H197" s="15" t="n"/>
    </row>
    <row r="198" customFormat="1" s="14">
      <c r="H198" s="15" t="n"/>
    </row>
    <row r="199" customFormat="1" s="14">
      <c r="H199" s="15" t="n"/>
    </row>
    <row r="200" customFormat="1" s="14">
      <c r="H200" s="15" t="n"/>
    </row>
    <row r="201" customFormat="1" s="14">
      <c r="H201" s="15" t="n"/>
    </row>
    <row r="202" customFormat="1" s="14">
      <c r="H202" s="15" t="n"/>
    </row>
    <row r="203" customFormat="1" s="14">
      <c r="H203" s="15" t="n"/>
    </row>
    <row r="204" customFormat="1" s="14">
      <c r="H204" s="15" t="n"/>
    </row>
    <row r="205" customFormat="1" s="14">
      <c r="H205" s="15" t="n"/>
    </row>
    <row r="206" customFormat="1" s="14">
      <c r="H206" s="15" t="n"/>
    </row>
    <row r="207" customFormat="1" s="14">
      <c r="H207" s="15" t="n"/>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Duus, Rikke</dc:creator>
  <dcterms:created xmlns:dcterms="http://purl.org/dc/terms/" xmlns:xsi="http://www.w3.org/2001/XMLSchema-instance" xsi:type="dcterms:W3CDTF">2024-09-27T13:33:00Z</dcterms:created>
  <dcterms:modified xmlns:dcterms="http://purl.org/dc/terms/" xmlns:xsi="http://www.w3.org/2001/XMLSchema-instance" xsi:type="dcterms:W3CDTF">2026-02-05T12:52:45Z</dcterms:modified>
  <cp:lastModifiedBy>Duus, Rikke</cp:lastModifiedBy>
</cp:coreProperties>
</file>